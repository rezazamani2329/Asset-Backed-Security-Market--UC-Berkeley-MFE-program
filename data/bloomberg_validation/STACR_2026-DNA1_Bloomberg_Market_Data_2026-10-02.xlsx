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e933b76fe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omberg Market Data" sheetId="1" r:id="R324e0b77ac77454b"/>
    <x:sheet xmlns:r="http://schemas.openxmlformats.org/officeDocument/2006/relationships" name="Validation vs GitHub" sheetId="2" r:id="Ra212ae27603241af"/>
    <x:sheet xmlns:r="http://schemas.openxmlformats.org/officeDocument/2006/relationships" name="Notes" sheetId="3" r:id="Rd499bcbc96ac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;[Red]($#,##0);-"/>
    <x:numFmt numFmtId="201" formatCode="0.000000000"/>
    <x:numFmt numFmtId="202" formatCode="0.0000"/>
    <x:numFmt numFmtId="203" formatCode="0"/>
    <x:numFmt numFmtId="204" formatCode="0.00"/>
    <x:numFmt numFmtId="205" formatCode="0.000"/>
    <x:numFmt numFmtId="206" formatCode="0.0"/>
    <x:numFmt numFmtId="207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4" fontId="2" fillId="0" borderId="1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5" fontId="2" fillId="0" borderId="1" xfId="0" applyNumberFormat="1" applyFont="1" applyFill="1" applyBorder="1" applyAlignment="1">
      <x:alignment vertical="center"/>
    </x:xf>
    <x:xf numFmtId="206" fontId="2" fillId="0" borderId="0" xfId="0" applyNumberFormat="1" applyFont="1" applyFill="1" applyBorder="1" applyAlignment="1">
      <x:alignment vertical="center"/>
    </x:xf>
    <x:xf numFmtId="206" fontId="2" fillId="0" borderId="1" xfId="0" applyNumberFormat="1" applyFont="1" applyFill="1" applyBorder="1" applyAlignment="1">
      <x:alignment vertical="center"/>
    </x:xf>
    <x:xf numFmtId="207" fontId="2" fillId="0" borderId="0" xfId="0" applyNumberFormat="1" applyFont="1" applyFill="1" applyBorder="1" applyAlignment="1">
      <x:alignment vertical="center"/>
    </x:xf>
    <x:xf numFmtId="207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2" fillId="0" borderId="0" xfId="0" applyNumberFormat="1" applyFont="1" applyFill="1" applyBorder="1"/>
    <x:xf numFmtId="200" fontId="5" fillId="0" borderId="0" xfId="0" applyNumberFormat="1" applyFont="1" applyFill="1" applyBorder="1"/>
    <x:xf numFmtId="200" fontId="6" fillId="0" borderId="1" xfId="0" applyNumberFormat="1" applyFont="1" applyFill="1" applyBorder="1"/>
    <x:xf numFmtId="200" fontId="2" fillId="0" borderId="1" xfId="0" applyNumberFormat="1" applyFont="1" applyFill="1" applyBorder="1"/>
    <x:xf numFmtId="200" fontId="5" fillId="0" borderId="1" xfId="0" applyNumberFormat="1" applyFont="1" applyFill="1" applyBorder="1"/>
    <x:xf numFmtId="201" fontId="6" fillId="0" borderId="0" xfId="0" applyNumberFormat="1" applyFont="1" applyFill="1" applyBorder="1"/>
    <x:xf numFmtId="201" fontId="2" fillId="0" borderId="0" xfId="0" applyNumberFormat="1" applyFont="1" applyFill="1" applyBorder="1"/>
    <x:xf numFmtId="201" fontId="5" fillId="0" borderId="0" xfId="0" applyNumberFormat="1" applyFont="1" applyFill="1" applyBorder="1"/>
    <x:xf numFmtId="201" fontId="6" fillId="0" borderId="1" xfId="0" applyNumberFormat="1" applyFont="1" applyFill="1" applyBorder="1"/>
    <x:xf numFmtId="201" fontId="2" fillId="0" borderId="1" xfId="0" applyNumberFormat="1" applyFont="1" applyFill="1" applyBorder="1"/>
    <x:xf numFmtId="201" fontId="5" fillId="0" borderId="1" xfId="0" applyNumberFormat="1" applyFont="1" applyFill="1" applyBorder="1"/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411fc99124332" /><Relationship Type="http://schemas.openxmlformats.org/officeDocument/2006/relationships/theme" Target="/xl/theme/theme1.xml" Id="R0e3fc06fcf0b49e9" /><Relationship Type="http://schemas.openxmlformats.org/officeDocument/2006/relationships/sharedStrings" Target="/xl/sharedStrings.xml" Id="R157452a82e294f9a" /><Relationship Type="http://schemas.openxmlformats.org/officeDocument/2006/relationships/worksheet" Target="/xl/worksheets/sheet1.xml" Id="R324e0b77ac77454b" /><Relationship Type="http://schemas.openxmlformats.org/officeDocument/2006/relationships/worksheet" Target="/xl/worksheets/sheet2.xml" Id="Ra212ae27603241af" /><Relationship Type="http://schemas.openxmlformats.org/officeDocument/2006/relationships/worksheet" Target="/xl/worksheets/sheet3.xml" Id="Rd499bcbc96ac407a" /></Relationships>
</file>

<file path=xl/tables/table1.xml><?xml version="1.0" encoding="utf-8"?>
<x:table xmlns:x="http://schemas.openxmlformats.org/spreadsheetml/2006/main" id="1" name="BloombergMarketDataTable" displayName="BloombergMarketDataTable" ref="A1:Q6" headerRowCount="1" totalsRowCount="0" totalsRowShown="0">
  <x:tableColumns count="17">
    <x:tableColumn id="1" name="Class"/>
    <x:tableColumn id="2" name="CUSIP"/>
    <x:tableColumn id="3" name="Original Balance ($)"/>
    <x:tableColumn id="4" name="Current Balance ($)"/>
    <x:tableColumn id="5" name="Current Factor"/>
    <x:tableColumn id="6" name="Current Coupon (%)"/>
    <x:tableColumn id="7" name="Coupon Spread (bp)"/>
    <x:tableColumn id="8" name="WAL (yrs)"/>
    <x:tableColumn id="9" name="Bid"/>
    <x:tableColumn id="10" name="Ask"/>
    <x:tableColumn id="11" name="Bid DM (bp)"/>
    <x:tableColumn id="12" name="Ask DM (bp)"/>
    <x:tableColumn id="13" name="S&amp;P Rating"/>
    <x:tableColumn id="14" name="DBRS Rating"/>
    <x:tableColumn id="15" name="Maturity"/>
    <x:tableColumn id="16" name="As-of Date"/>
    <x:tableColumn id="17" name="Source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4f06495e454d9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2" hidden="0" customWidth="1"/>
    <x:col min="9" max="9" width="11" hidden="0" customWidth="1"/>
    <x:col min="10" max="10" width="11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48" hidden="0" customWidth="1"/>
  </x:cols>
  <x:sheetData>
    <x:row r="1" ht="32" customHeight="1">
      <x:c r="A1" s="10" t="str">
        <x:v>Class</x:v>
      </x:c>
      <x:c r="B1" s="10" t="str">
        <x:v>CUSIP</x:v>
      </x:c>
      <x:c r="C1" s="10" t="str">
        <x:v>Original Balance ($)</x:v>
      </x:c>
      <x:c r="D1" s="10" t="str">
        <x:v>Current Balance ($)</x:v>
      </x:c>
      <x:c r="E1" s="10" t="str">
        <x:v>Current Factor</x:v>
      </x:c>
      <x:c r="F1" s="10" t="str">
        <x:v>Current Coupon (%)</x:v>
      </x:c>
      <x:c r="G1" s="10" t="str">
        <x:v>Coupon Spread (bp)</x:v>
      </x:c>
      <x:c r="H1" s="10" t="str">
        <x:v>WAL (yrs)</x:v>
      </x:c>
      <x:c r="I1" s="10" t="str">
        <x:v>Bid</x:v>
      </x:c>
      <x:c r="J1" s="10" t="str">
        <x:v>Ask</x:v>
      </x:c>
      <x:c r="K1" s="10" t="str">
        <x:v>Bid DM (bp)</x:v>
      </x:c>
      <x:c r="L1" s="10" t="str">
        <x:v>Ask DM (bp)</x:v>
      </x:c>
      <x:c r="M1" s="10" t="str">
        <x:v>S&amp;P Rating</x:v>
      </x:c>
      <x:c r="N1" s="10" t="str">
        <x:v>DBRS Rating</x:v>
      </x:c>
      <x:c r="O1" s="10" t="str">
        <x:v>Maturity</x:v>
      </x:c>
      <x:c r="P1" s="10" t="str">
        <x:v>As-of Date</x:v>
      </x:c>
      <x:c r="Q1" s="10" t="str">
        <x:v>Source Evidence</x:v>
      </x:c>
    </x:row>
    <x:row r="2">
      <x:c r="A2" s="14" t="str">
        <x:v>A-1</x:v>
      </x:c>
      <x:c r="B2" s="14" t="str">
        <x:v>35564UCQ8</x:v>
      </x:c>
      <x:c r="C2" s="16" t="n">
        <x:v>275900000</x:v>
      </x:c>
      <x:c r="D2" s="16" t="n">
        <x:v>203476250</x:v>
      </x:c>
      <x:c r="E2" s="18" t="n">
        <x:v>0.7375</x:v>
      </x:c>
      <x:c r="F2" s="20" t="n">
        <x:v>4.5402</x:v>
      </x:c>
      <x:c r="G2" s="22" t="n">
        <x:v>85</x:v>
      </x:c>
      <x:c r="H2" s="24" t="n">
        <x:v>1.39</x:v>
      </x:c>
      <x:c r="I2" s="26" t="n">
        <x:v>99.844</x:v>
      </x:c>
      <x:c r="J2" s="26" t="n">
        <x:v>99.978</x:v>
      </x:c>
      <x:c r="K2" s="28" t="n">
        <x:v>96.5</x:v>
      </x:c>
      <x:c r="L2" s="28" t="n">
        <x:v>86.6</x:v>
      </x:c>
      <x:c r="M2" s="14" t="str">
        <x:v>A+</x:v>
      </x:c>
      <x:c r="N2" s="14" t="str">
        <x:v>AL</x:v>
      </x:c>
      <x:c r="O2" s="30" t="n">
        <x:v>53383</x:v>
      </x:c>
      <x:c r="P2" s="30" t="n">
        <x:v>46297</x:v>
      </x:c>
      <x:c r="Q2" s="32" t="str">
        <x:v>STACR_2026-DNA1_A1_Bloomberg_DES_2026-10-02.png</x:v>
      </x:c>
    </x:row>
    <x:row r="3">
      <x:c r="A3" s="14" t="str">
        <x:v>M-1</x:v>
      </x:c>
      <x:c r="B3" s="14" t="str">
        <x:v>35564UCR6</x:v>
      </x:c>
      <x:c r="C3" s="16" t="n">
        <x:v>275900000</x:v>
      </x:c>
      <x:c r="D3" s="16" t="n">
        <x:v>157810518</x:v>
      </x:c>
      <x:c r="E3" s="18" t="n">
        <x:v>0.571984481</x:v>
      </x:c>
      <x:c r="F3" s="20" t="n">
        <x:v>4.6902</x:v>
      </x:c>
      <x:c r="G3" s="22" t="n">
        <x:v>100</x:v>
      </x:c>
      <x:c r="H3" s="24" t="n">
        <x:v>1.23</x:v>
      </x:c>
      <x:c r="I3" s="26" t="n">
        <x:v>99.875</x:v>
      </x:c>
      <x:c r="J3" s="26" t="n">
        <x:v>100.027</x:v>
      </x:c>
      <x:c r="K3" s="28" t="n">
        <x:v>110.4</x:v>
      </x:c>
      <x:c r="L3" s="28" t="n">
        <x:v>97.8</x:v>
      </x:c>
      <x:c r="M3" s="14" t="str">
        <x:v>BBB+</x:v>
      </x:c>
      <x:c r="N3" s="14" t="str">
        <x:v>BBBH</x:v>
      </x:c>
      <x:c r="O3" s="30" t="n">
        <x:v>53383</x:v>
      </x:c>
      <x:c r="P3" s="30" t="n">
        <x:v>46297</x:v>
      </x:c>
      <x:c r="Q3" s="32" t="str">
        <x:v>STACR_2026-DNA1_M1_Bloomberg_DES_2026-10-02.png</x:v>
      </x:c>
    </x:row>
    <x:row r="4">
      <x:c r="A4" s="14" t="str">
        <x:v>M-2</x:v>
      </x:c>
      <x:c r="B4" s="14" t="str">
        <x:v>35564UCS4</x:v>
      </x:c>
      <x:c r="C4" s="16" t="n">
        <x:v>75700000</x:v>
      </x:c>
      <x:c r="D4" s="16" t="n">
        <x:v>75700000</x:v>
      </x:c>
      <x:c r="E4" s="18" t="n">
        <x:v>1</x:v>
      </x:c>
      <x:c r="F4" s="20" t="n">
        <x:v>4.99029</x:v>
      </x:c>
      <x:c r="G4" s="22" t="n">
        <x:v>130</x:v>
      </x:c>
      <x:c r="H4" s="24" t="n">
        <x:v>3.13</x:v>
      </x:c>
      <x:c r="I4" s="26" t="n">
        <x:v>99.719</x:v>
      </x:c>
      <x:c r="J4" s="26" t="n">
        <x:v>100.087</x:v>
      </x:c>
      <x:c r="K4" s="28" t="n">
        <x:v>139.6</x:v>
      </x:c>
      <x:c r="L4" s="28" t="n">
        <x:v>127</x:v>
      </x:c>
      <x:c r="M4" s="14" t="str">
        <x:v>BBB+</x:v>
      </x:c>
      <x:c r="N4" s="14" t="str">
        <x:v>BBBL</x:v>
      </x:c>
      <x:c r="O4" s="30" t="n">
        <x:v>53383</x:v>
      </x:c>
      <x:c r="P4" s="30" t="n">
        <x:v>46297</x:v>
      </x:c>
      <x:c r="Q4" s="32" t="str">
        <x:v>STACR_2026-DNA1_M2_Bloomberg_DES_2026-10-02.png</x:v>
      </x:c>
    </x:row>
    <x:row r="5">
      <x:c r="A5" s="14" t="str">
        <x:v>M-2A</x:v>
      </x:c>
      <x:c r="B5" s="14" t="str">
        <x:v>35564UCY1</x:v>
      </x:c>
      <x:c r="C5" s="16" t="n">
        <x:v>37850000</x:v>
      </x:c>
      <x:c r="D5" s="16" t="n">
        <x:v>37850000</x:v>
      </x:c>
      <x:c r="E5" s="18" t="n">
        <x:v>1</x:v>
      </x:c>
      <x:c r="F5" s="20" t="n">
        <x:v>4.99029</x:v>
      </x:c>
      <x:c r="G5" s="22" t="n">
        <x:v>130</x:v>
      </x:c>
      <x:c r="H5" s="24" t="n">
        <x:v>2.78</x:v>
      </x:c>
      <x:c r="I5" s="26" t="n">
        <x:v>99.377</x:v>
      </x:c>
      <x:c r="J5" s="26" t="n">
        <x:v>99.72</x:v>
      </x:c>
      <x:c r="K5" s="28" t="n">
        <x:v>153.8</x:v>
      </x:c>
      <x:c r="L5" s="28" t="n">
        <x:v>140.7</x:v>
      </x:c>
      <x:c r="M5" s="14" t="str">
        <x:v>BBB+</x:v>
      </x:c>
      <x:c r="N5" s="14" t="str">
        <x:v>BBB</x:v>
      </x:c>
      <x:c r="O5" s="30" t="n">
        <x:v>53383</x:v>
      </x:c>
      <x:c r="P5" s="30" t="n">
        <x:v>46297</x:v>
      </x:c>
      <x:c r="Q5" s="32" t="str">
        <x:v>STACR_2026-DNA1_M2A_Bloomberg_DES_2026-10-02.png</x:v>
      </x:c>
    </x:row>
    <x:row r="6">
      <x:c r="A6" s="14" t="str">
        <x:v>M-2B</x:v>
      </x:c>
      <x:c r="B6" s="14" t="str">
        <x:v>35564UDE4</x:v>
      </x:c>
      <x:c r="C6" s="16" t="n">
        <x:v>37850000</x:v>
      </x:c>
      <x:c r="D6" s="16" t="n">
        <x:v>37850000</x:v>
      </x:c>
      <x:c r="E6" s="18" t="n">
        <x:v>1</x:v>
      </x:c>
      <x:c r="F6" s="20" t="n">
        <x:v>4.99029</x:v>
      </x:c>
      <x:c r="G6" s="22" t="n">
        <x:v>130</x:v>
      </x:c>
      <x:c r="H6" s="24" t="n">
        <x:v>3.48</x:v>
      </x:c>
      <x:c r="I6" s="26" t="n">
        <x:v>98.761</x:v>
      </x:c>
      <x:c r="J6" s="26" t="n">
        <x:v>99.148</x:v>
      </x:c>
      <x:c r="K6" s="28" t="n">
        <x:v>168.7</x:v>
      </x:c>
      <x:c r="L6" s="28" t="n">
        <x:v>156.5</x:v>
      </x:c>
      <x:c r="M6" s="14" t="str">
        <x:v>BBB+</x:v>
      </x:c>
      <x:c r="N6" s="14" t="str">
        <x:v>BBBL</x:v>
      </x:c>
      <x:c r="O6" s="30" t="n">
        <x:v>53383</x:v>
      </x:c>
      <x:c r="P6" s="30" t="n">
        <x:v>46297</x:v>
      </x:c>
      <x:c r="Q6" s="32" t="str">
        <x:v>STACR_2026-DNA1_M2B_Bloomberg_DES_2026-10-02.png</x:v>
      </x:c>
    </x:row>
  </x:sheetData>
  <x:pageMargins left="0.7" right="0.7" top="0.75" bottom="0.75" header="0.3" footer="0.3"/>
  <x:tableParts count="1">
    <x:tablePart xmlns:r="http://schemas.openxmlformats.org/officeDocument/2006/relationships" r:id="Ra44f06495e454d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6" customHeight="1">
      <x:c r="A1" s="36" t="str">
        <x:v>STACR 2026-DNA1 — Bloomberg Balance Validation</x:v>
      </x:c>
      <x:c r="B1" s="36"/>
      <x:c r="C1" s="36"/>
      <x:c r="D1" s="36"/>
      <x:c r="E1" s="36"/>
      <x:c r="F1" s="36"/>
      <x:c r="G1" s="36"/>
      <x:c r="H1" s="36"/>
    </x:row>
    <x:row r="3">
      <x:c r="A3" s="60" t="str">
        <x:v>Class</x:v>
      </x:c>
      <x:c r="B3" s="60" t="str">
        <x:v>Bloomberg Balance ($)</x:v>
      </x:c>
      <x:c r="C3" s="60" t="str">
        <x:v>GitHub Balance ($)</x:v>
      </x:c>
      <x:c r="D3" s="60" t="str">
        <x:v>Balance Difference ($)</x:v>
      </x:c>
      <x:c r="E3" s="60" t="str">
        <x:v>Bloomberg Factor</x:v>
      </x:c>
      <x:c r="F3" s="60" t="str">
        <x:v>GitHub Factor</x:v>
      </x:c>
      <x:c r="G3" s="60" t="str">
        <x:v>Factor Difference</x:v>
      </x:c>
      <x:c r="H3" s="60" t="str">
        <x:v>Validation</x:v>
      </x:c>
    </x:row>
    <x:row r="4">
      <x:c r="A4" s="72" t="str">
        <x:v>A-1</x:v>
      </x:c>
      <x:c r="B4" s="73" t="n">
        <x:f>'Bloomberg Market Data'!D2</x:f>
        <x:v>203476250</x:v>
      </x:c>
      <x:c r="C4" s="74" t="n">
        <x:v>203476250</x:v>
      </x:c>
      <x:c r="D4" s="75" t="n">
        <x:f>B4-C4</x:f>
        <x:v>0</x:v>
      </x:c>
      <x:c r="E4" s="76" t="n">
        <x:f>'Bloomberg Market Data'!E2</x:f>
        <x:v>0.7375</x:v>
      </x:c>
      <x:c r="F4" s="77" t="n">
        <x:v>0.7375</x:v>
      </x:c>
      <x:c r="G4" s="78" t="n">
        <x:f>E4-F4</x:f>
        <x:v>0</x:v>
      </x:c>
      <x:c r="H4" s="72" t="str">
        <x:f>IF(AND(ABS(D4)&lt;1,ABS(G4)&lt;0.000001),"MATCH","REVIEW")</x:f>
        <x:v>MATCH</x:v>
      </x:c>
    </x:row>
    <x:row r="5">
      <x:c r="A5" s="72" t="str">
        <x:v>M-1</x:v>
      </x:c>
      <x:c r="B5" s="73" t="n">
        <x:f>'Bloomberg Market Data'!D3</x:f>
        <x:v>157810518</x:v>
      </x:c>
      <x:c r="C5" s="74" t="n">
        <x:v>164130000</x:v>
      </x:c>
      <x:c r="D5" s="75" t="n">
        <x:f>B5-C5</x:f>
        <x:v>-6319482</x:v>
      </x:c>
      <x:c r="E5" s="76" t="n">
        <x:f>'Bloomberg Market Data'!E3</x:f>
        <x:v>0.571984481</x:v>
      </x:c>
      <x:c r="F5" s="77" t="n">
        <x:v>0.5949</x:v>
      </x:c>
      <x:c r="G5" s="78" t="n">
        <x:f>E5-F5</x:f>
        <x:v>-0.022915518999999995</x:v>
      </x:c>
      <x:c r="H5" s="72" t="str">
        <x:f>IF(AND(ABS(D5)&lt;1,ABS(G5)&lt;0.000001),"MATCH","REVIEW")</x:f>
        <x:v>REVIEW</x:v>
      </x:c>
    </x:row>
    <x:row r="6">
      <x:c r="A6" s="72" t="str">
        <x:v>M-2</x:v>
      </x:c>
      <x:c r="B6" s="73" t="n">
        <x:f>'Bloomberg Market Data'!D4</x:f>
        <x:v>75700000</x:v>
      </x:c>
      <x:c r="C6" s="74" t="n">
        <x:v>75700000</x:v>
      </x:c>
      <x:c r="D6" s="75" t="n">
        <x:f>B6-C6</x:f>
        <x:v>0</x:v>
      </x:c>
      <x:c r="E6" s="76" t="n">
        <x:f>'Bloomberg Market Data'!E4</x:f>
        <x:v>1</x:v>
      </x:c>
      <x:c r="F6" s="77" t="n">
        <x:v>1</x:v>
      </x:c>
      <x:c r="G6" s="78" t="n">
        <x:f>E6-F6</x:f>
        <x:v>0</x:v>
      </x:c>
      <x:c r="H6" s="72" t="str">
        <x:f>IF(AND(ABS(D6)&lt;1,ABS(G6)&lt;0.000001),"MATCH","REVIEW")</x:f>
        <x:v>MATCH</x:v>
      </x:c>
    </x:row>
    <x:row r="7">
      <x:c r="A7" s="72" t="str">
        <x:v>M-2A</x:v>
      </x:c>
      <x:c r="B7" s="73" t="n">
        <x:f>'Bloomberg Market Data'!D5</x:f>
        <x:v>37850000</x:v>
      </x:c>
      <x:c r="C7" s="74" t="n">
        <x:v>37850000</x:v>
      </x:c>
      <x:c r="D7" s="75" t="n">
        <x:f>B7-C7</x:f>
        <x:v>0</x:v>
      </x:c>
      <x:c r="E7" s="76" t="n">
        <x:f>'Bloomberg Market Data'!E5</x:f>
        <x:v>1</x:v>
      </x:c>
      <x:c r="F7" s="77" t="n">
        <x:v>1</x:v>
      </x:c>
      <x:c r="G7" s="78" t="n">
        <x:f>E7-F7</x:f>
        <x:v>0</x:v>
      </x:c>
      <x:c r="H7" s="72" t="str">
        <x:f>IF(AND(ABS(D7)&lt;1,ABS(G7)&lt;0.000001),"MATCH","REVIEW")</x:f>
        <x:v>MATCH</x:v>
      </x:c>
    </x:row>
    <x:row r="8">
      <x:c r="A8" s="72" t="str">
        <x:v>M-2B</x:v>
      </x:c>
      <x:c r="B8" s="73" t="n">
        <x:f>'Bloomberg Market Data'!D6</x:f>
        <x:v>37850000</x:v>
      </x:c>
      <x:c r="C8" s="74" t="n">
        <x:v>37850000</x:v>
      </x:c>
      <x:c r="D8" s="75" t="n">
        <x:f>B8-C8</x:f>
        <x:v>0</x:v>
      </x:c>
      <x:c r="E8" s="76" t="n">
        <x:f>'Bloomberg Market Data'!E6</x:f>
        <x:v>1</x:v>
      </x:c>
      <x:c r="F8" s="77" t="n">
        <x:v>1</x:v>
      </x:c>
      <x:c r="G8" s="78" t="n">
        <x:f>E8-F8</x:f>
        <x:v>0</x:v>
      </x:c>
      <x:c r="H8" s="72" t="str">
        <x:f>IF(AND(ABS(D8)&lt;1,ABS(G8)&lt;0.000001),"MATCH","REVIEW")</x:f>
        <x:v>MATCH</x:v>
      </x:c>
    </x:row>
    <x:row r="10" ht="52" customHeight="1">
      <x:c r="A10" s="88" t="str">
        <x:v>Note: GitHub M-1 reference values are from the current project snapshot (~$164.13mm balance, factor ~0.5949). Bloomberg shows $157.811mm and factor 0.571984481 as of 2026-10-02, so M-1 should be reviewed before final waterfall/pricing.</x:v>
      </x:c>
      <x:c r="B10" s="88"/>
      <x:c r="C10" s="88"/>
      <x:c r="D10" s="88"/>
      <x:c r="E10" s="88"/>
      <x:c r="F10" s="88"/>
      <x:c r="G10" s="88"/>
      <x:c r="H10" s="88"/>
    </x:row>
  </x:sheetData>
  <x:mergeCells>
    <x:mergeCell ref="A1:H1"/>
    <x:mergeCell ref="A10:H10"/>
  </x:mergeCells>
  <x:conditionalFormatting sqref="H4:H8">
    <x:cfRule type="expression" dxfId="0" priority="1">
      <x:formula>H4="REVIEW"</x:formula>
    </x:cfRule>
    <x:cfRule type="expression" dxfId="1" priority="2">
      <x:formula>H4="MATCH"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>
      <x:c r="A1" s="34" t="str">
        <x:v>Purpose and Data Notes</x:v>
      </x:c>
      <x:c r="B1" s="34"/>
      <x:c r="C1" s="34"/>
      <x:c r="D1" s="34"/>
      <x:c r="E1" s="34"/>
      <x:c r="F1" s="34"/>
    </x:row>
    <x:row r="3">
      <x:c r="A3" s="96" t="str">
        <x:v>Item</x:v>
      </x:c>
      <x:c r="B3" s="96" t="str">
        <x:v>Details</x:v>
      </x:c>
    </x:row>
    <x:row r="4">
      <x:c r="A4" s="97" t="str">
        <x:v>Purpose</x:v>
      </x:c>
      <x:c r="B4" s="97" t="str">
        <x:v>Bloomberg market data collection for STACR 2026-DNA1 tranche balance validation and model-vs-market pricing analysis.</x:v>
      </x:c>
    </x:row>
    <x:row r="5">
      <x:c r="A5" s="97" t="str">
        <x:v>As-of date</x:v>
      </x:c>
      <x:c r="B5" s="97" t="str">
        <x:v>2026-10-02 (the date shown on Bloomberg DES screens).</x:v>
      </x:c>
    </x:row>
    <x:row r="6">
      <x:c r="A6" s="97" t="str">
        <x:v>Raw evidence</x:v>
      </x:c>
      <x:c r="B6" s="97" t="str">
        <x:v>Five Bloomberg DES screenshots: A-1, M-1, M-2, M-2A, M-2B.</x:v>
      </x:c>
    </x:row>
    <x:row r="7">
      <x:c r="A7" s="97" t="str">
        <x:v>Use in model</x:v>
      </x:c>
      <x:c r="B7" s="97" t="str">
        <x:v>Validate current tranche factors/balances before waterfall; later compare model-implied price/DM with observed Bloomberg bid/ask and discount margin.</x:v>
      </x:c>
    </x:row>
    <x:row r="8">
      <x:c r="A8" s="97" t="str">
        <x:v>Key issue found</x:v>
      </x:c>
      <x:c r="B8" s="97" t="str">
        <x:v>M-1 Bloomberg factor/balance differs from the current GitHub snapshot and should be reconciled before final pricing.</x:v>
      </x:c>
    </x:row>
  </x:sheetData>
  <x:mergeCells>
    <x:mergeCell ref="A1:F1"/>
  </x:mergeCells>
  <x:pageMargins left="0.7" right="0.7" top="0.75" bottom="0.75" header="0.3" footer="0.3"/>
</x:worksheet>
</file>